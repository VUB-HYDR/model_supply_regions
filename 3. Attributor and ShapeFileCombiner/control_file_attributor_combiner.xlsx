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aths"/>
    <sheet r:id="rId2" sheetId="2" name="configurations"/>
    <sheet r:id="rId3" sheetId="3" name="parameters"/>
  </sheets>
  <calcPr fullCalcOnLoad="1"/>
</workbook>
</file>

<file path=xl/sharedStrings.xml><?xml version="1.0" encoding="utf-8"?>
<sst xmlns="http://schemas.openxmlformats.org/spreadsheetml/2006/main" count="58" uniqueCount="53">
  <si>
    <t>Index</t>
  </si>
  <si>
    <t>Gen capital USD/kW</t>
  </si>
  <si>
    <t>Gen fixed O&amp;M USD/MW/yr</t>
  </si>
  <si>
    <t>Gen variable O&amp;M USD/MWh</t>
  </si>
  <si>
    <t>Supply asset Capital Recovery Factor</t>
  </si>
  <si>
    <t>Power Plant Lifetime years</t>
  </si>
  <si>
    <t>TL capital USD/MW/km</t>
  </si>
  <si>
    <t>TL fixed O&amp;M USD/km</t>
  </si>
  <si>
    <t>Substation capital USD</t>
  </si>
  <si>
    <t>Grid equipment Capital Recovery Factor</t>
  </si>
  <si>
    <t>Transmission line Lifetime years</t>
  </si>
  <si>
    <t>Road capital USD/km</t>
  </si>
  <si>
    <t>Roads fixed OM USD/km</t>
  </si>
  <si>
    <t>Roads Capital recovery factor</t>
  </si>
  <si>
    <t>Road Lifetime years</t>
  </si>
  <si>
    <t>Economic discount rate</t>
  </si>
  <si>
    <t>Wind_Class1</t>
  </si>
  <si>
    <t>Wind_Class2</t>
  </si>
  <si>
    <t>Wind_Class3</t>
  </si>
  <si>
    <t>SolarPV</t>
  </si>
  <si>
    <t>configurations</t>
  </si>
  <si>
    <t>value</t>
  </si>
  <si>
    <t>comments</t>
  </si>
  <si>
    <t>run_solar_pv</t>
  </si>
  <si>
    <t xml:space="preserve">Options=[0-No, 1-Yes]. </t>
  </si>
  <si>
    <t>run_solar_csp</t>
  </si>
  <si>
    <t>run_wind</t>
  </si>
  <si>
    <t>run_offshore_wind</t>
  </si>
  <si>
    <t>local_time_profile</t>
  </si>
  <si>
    <t>Options=[0-UTC time profile, 1-Local time profile].</t>
  </si>
  <si>
    <t>wind_hub_height</t>
  </si>
  <si>
    <t>Units: meters</t>
  </si>
  <si>
    <t>hours_in_year</t>
  </si>
  <si>
    <t>days_in_year</t>
  </si>
  <si>
    <t>reference_plant_capacity</t>
  </si>
  <si>
    <t>Defines the representative project size used to annualise and normalise connection-related road access costs costs, into LCOE components. Units: MW.</t>
  </si>
  <si>
    <t>wind_loss_adjustment</t>
  </si>
  <si>
    <t>2% outage losses and 15% array and wake losses. Units: %</t>
  </si>
  <si>
    <t>solarpv_loss_adjustment</t>
  </si>
  <si>
    <t>4% outage losses and 4% inverter and cable losses. Units: %</t>
  </si>
  <si>
    <t>parameter</t>
  </si>
  <si>
    <t>output_folder_msr_creator</t>
  </si>
  <si>
    <t>C:\Dev\model_supply_regions\Model-Supply-Regions-MSR-Toolset\outputs\1_msr_creator</t>
  </si>
  <si>
    <t>path to folder carrying subfolders of each country that have results from MSR creator</t>
  </si>
  <si>
    <t>file_address_country_names_list</t>
  </si>
  <si>
    <t>C:\Dev\model_supply_regions\Model-Supply-Regions-MSR-Toolset\countrynames.csv</t>
  </si>
  <si>
    <t>Address to csv file carrying list of countries for which MSR hourly profiles will be created in sequence. It should be same csv file that is used while running MSR_Creator</t>
  </si>
  <si>
    <t>output_folder_profile_generator</t>
  </si>
  <si>
    <t>C:\Dev\model_supply_regions\Model-Supply-Regions-MSR-Toolset\outputs\2_profile_generator\</t>
  </si>
  <si>
    <t>path to folder carrying subfolders of each country that have results (Local time profiles) from Profile Generator</t>
  </si>
  <si>
    <t>output_folder_attributor_combiner</t>
  </si>
  <si>
    <t>C:\Dev\model_supply_regions\Model-Supply-Regions-MSR-Toolset\outputs\3_attributor_combiner</t>
  </si>
  <si>
    <t>Folder in which output of Attributor/Combiner script will be saved (Pre-Screen file). This folder will be created in script run if it does not pre-exist.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</si>
</sst>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165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1" applyNumberFormat="1" borderId="1" applyBorder="1" fontId="2" applyFont="1" fillId="0" applyAlignment="1">
      <alignment horizontal="right" wrapText="1"/>
    </xf>
    <xf xfId="0" numFmtId="165" applyNumberFormat="1" borderId="1" applyBorder="1" fontId="2" applyFont="1" fillId="0" applyAlignment="1">
      <alignment horizontal="right" wrapText="1"/>
    </xf>
    <xf xfId="0" numFmtId="164" applyNumberFormat="1" borderId="1" applyBorder="1" fontId="2" applyFont="1" fillId="0" applyAlignment="1">
      <alignment horizontal="right" wrapText="1"/>
    </xf>
    <xf xfId="0" numFmtId="4" applyNumberFormat="1" borderId="1" applyBorder="1" fontId="2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1" applyNumberFormat="1" borderId="1" applyBorder="1" fontId="3" applyFont="1" fillId="0" applyAlignment="1">
      <alignment horizontal="left" wrapText="1"/>
    </xf>
    <xf xfId="0" numFmtId="165" applyNumberFormat="1" borderId="1" applyBorder="1" fontId="3" applyFont="1" fillId="0" applyAlignment="1">
      <alignment horizontal="right" wrapText="1"/>
    </xf>
    <xf xfId="0" numFmtId="164" applyNumberFormat="1" borderId="1" applyBorder="1" fontId="3" applyFont="1" fillId="0" applyAlignment="1">
      <alignment horizontal="right" wrapText="1"/>
    </xf>
    <xf xfId="0" numFmtId="4" applyNumberFormat="1" borderId="1" applyBorder="1" fontId="3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165" applyNumberFormat="1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P5" displayName="Table3" name="Table3" id="1" totalsRowShown="0">
  <autoFilter ref="A1:P5"/>
  <tableColumns count="16">
    <tableColumn name="Index" id="1"/>
    <tableColumn name="Gen capital USD/kW" id="2"/>
    <tableColumn name="Gen fixed O&amp;M USD/MW/yr" id="3"/>
    <tableColumn name="Gen variable O&amp;M USD/MWh" id="4"/>
    <tableColumn name="Supply asset Capital Recovery Factor" id="5"/>
    <tableColumn name="Power Plant Lifetime years" id="6"/>
    <tableColumn name="TL capital USD/MW/km" id="7"/>
    <tableColumn name="TL fixed O&amp;M USD/km" id="8"/>
    <tableColumn name="Substation capital USD" id="9"/>
    <tableColumn name="Grid equipment Capital Recovery Factor" id="10"/>
    <tableColumn name="Transmission line Lifetime years" id="11"/>
    <tableColumn name="Road capital USD/km" id="12"/>
    <tableColumn name="Roads fixed OM USD/km" id="13"/>
    <tableColumn name="Roads Capital recovery factor" id="14"/>
    <tableColumn name="Road Lifetime years" id="15"/>
    <tableColumn name="Economic discount rate" id="16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C12" displayName="Table2" name="Table2" id="2" totalsRowShown="0">
  <autoFilter ref="A1:C12"/>
  <tableColumns count="3">
    <tableColumn name="configurations" id="1"/>
    <tableColumn name="value" id="2"/>
    <tableColumn name="comments" id="3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C5" displayName="Table1" name="Table1" id="3" totalsRowShown="0">
  <autoFilter ref="A1:C5"/>
  <tableColumns count="3">
    <tableColumn name="parameter" id="1"/>
    <tableColumn name="value" id="2"/>
    <tableColumn name="comments" id="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2" width="45.86214285714286" customWidth="1" bestFit="1"/>
    <col min="2" max="2" style="22" width="49.57642857142857" customWidth="1" bestFit="1"/>
    <col min="3" max="3" style="22" width="53.005" customWidth="1" bestFit="1"/>
  </cols>
  <sheetData>
    <row x14ac:dyDescent="0.25" r="1" customHeight="1" ht="19.5" customFormat="1" s="1">
      <c r="A1" s="2" t="s">
        <v>40</v>
      </c>
      <c r="B1" s="2" t="s">
        <v>21</v>
      </c>
      <c r="C1" s="2" t="s">
        <v>22</v>
      </c>
    </row>
    <row x14ac:dyDescent="0.25" r="2" customHeight="1" ht="33" customFormat="1" s="1">
      <c r="A2" s="6" t="s">
        <v>41</v>
      </c>
      <c r="B2" s="6" t="s">
        <v>42</v>
      </c>
      <c r="C2" s="6" t="s">
        <v>43</v>
      </c>
    </row>
    <row x14ac:dyDescent="0.25" r="3" customHeight="1" ht="46.5" customFormat="1" s="1">
      <c r="A3" s="6" t="s">
        <v>44</v>
      </c>
      <c r="B3" s="6" t="s">
        <v>45</v>
      </c>
      <c r="C3" s="6" t="s">
        <v>46</v>
      </c>
    </row>
    <row x14ac:dyDescent="0.25" r="4" customHeight="1" ht="33" customFormat="1" s="1">
      <c r="A4" s="6" t="s">
        <v>47</v>
      </c>
      <c r="B4" s="6" t="s">
        <v>48</v>
      </c>
      <c r="C4" s="6" t="s">
        <v>49</v>
      </c>
    </row>
    <row x14ac:dyDescent="0.25" r="5" customHeight="1" ht="46.5" customFormat="1" s="1">
      <c r="A5" s="6" t="s">
        <v>50</v>
      </c>
      <c r="B5" s="6" t="s">
        <v>51</v>
      </c>
      <c r="C5" s="6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 tabSelected="1"/>
  </sheetViews>
  <sheetFormatPr defaultRowHeight="15" x14ac:dyDescent="0.25"/>
  <cols>
    <col min="1" max="1" style="22" width="28.862142857142857" customWidth="1" bestFit="1"/>
    <col min="2" max="2" style="23" width="12.43357142857143" customWidth="1" bestFit="1"/>
    <col min="3" max="3" style="22" width="49.29071428571429" customWidth="1" bestFit="1"/>
  </cols>
  <sheetData>
    <row x14ac:dyDescent="0.25" r="1" customHeight="1" ht="19.5" customFormat="1" s="1">
      <c r="A1" s="2" t="s">
        <v>20</v>
      </c>
      <c r="B1" s="20" t="s">
        <v>21</v>
      </c>
      <c r="C1" s="2" t="s">
        <v>22</v>
      </c>
    </row>
    <row x14ac:dyDescent="0.25" r="2" customHeight="1" ht="18.75" customFormat="1" s="1">
      <c r="A2" s="6" t="s">
        <v>23</v>
      </c>
      <c r="B2" s="21">
        <v>0</v>
      </c>
      <c r="C2" s="6" t="s">
        <v>24</v>
      </c>
    </row>
    <row x14ac:dyDescent="0.25" r="3" customHeight="1" ht="18.75" customFormat="1" s="1">
      <c r="A3" s="6" t="s">
        <v>25</v>
      </c>
      <c r="B3" s="21">
        <v>0</v>
      </c>
      <c r="C3" s="6" t="s">
        <v>24</v>
      </c>
    </row>
    <row x14ac:dyDescent="0.25" r="4" customHeight="1" ht="18.75" customFormat="1" s="1">
      <c r="A4" s="6" t="s">
        <v>26</v>
      </c>
      <c r="B4" s="21">
        <v>1</v>
      </c>
      <c r="C4" s="6" t="s">
        <v>24</v>
      </c>
    </row>
    <row x14ac:dyDescent="0.25" r="5" customHeight="1" ht="18.75" customFormat="1" s="1">
      <c r="A5" s="6" t="s">
        <v>27</v>
      </c>
      <c r="B5" s="21">
        <v>0</v>
      </c>
      <c r="C5" s="6" t="s">
        <v>24</v>
      </c>
    </row>
    <row x14ac:dyDescent="0.25" r="6" customHeight="1" ht="18.75" customFormat="1" s="1">
      <c r="A6" s="6" t="s">
        <v>28</v>
      </c>
      <c r="B6" s="21">
        <v>1</v>
      </c>
      <c r="C6" s="6" t="s">
        <v>29</v>
      </c>
    </row>
    <row x14ac:dyDescent="0.25" r="7" customHeight="1" ht="18.75" customFormat="1" s="1">
      <c r="A7" s="6" t="s">
        <v>30</v>
      </c>
      <c r="B7" s="21">
        <v>100</v>
      </c>
      <c r="C7" s="6" t="s">
        <v>31</v>
      </c>
    </row>
    <row x14ac:dyDescent="0.25" r="8" customHeight="1" ht="18.75" customFormat="1" s="1">
      <c r="A8" s="6" t="s">
        <v>32</v>
      </c>
      <c r="B8" s="21">
        <v>8760</v>
      </c>
      <c r="C8" s="6"/>
    </row>
    <row x14ac:dyDescent="0.25" r="9" customHeight="1" ht="18.75" customFormat="1" s="1">
      <c r="A9" s="6" t="s">
        <v>33</v>
      </c>
      <c r="B9" s="21">
        <v>365</v>
      </c>
      <c r="C9" s="6"/>
    </row>
    <row x14ac:dyDescent="0.25" r="10" customHeight="1" ht="44.25" customFormat="1" s="1">
      <c r="A10" s="6" t="s">
        <v>34</v>
      </c>
      <c r="B10" s="21">
        <v>50</v>
      </c>
      <c r="C10" s="6" t="s">
        <v>35</v>
      </c>
    </row>
    <row x14ac:dyDescent="0.25" r="11" customHeight="1" ht="18.75" customFormat="1" s="1">
      <c r="A11" s="6" t="s">
        <v>36</v>
      </c>
      <c r="B11" s="21">
        <v>83</v>
      </c>
      <c r="C11" s="6" t="s">
        <v>37</v>
      </c>
    </row>
    <row x14ac:dyDescent="0.25" r="12" customHeight="1" ht="31.5" customFormat="1" s="1">
      <c r="A12" s="6" t="s">
        <v>38</v>
      </c>
      <c r="B12" s="21">
        <v>92</v>
      </c>
      <c r="C12" s="6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/>
  </sheetViews>
  <sheetFormatPr defaultRowHeight="15" x14ac:dyDescent="0.25"/>
  <cols>
    <col min="1" max="1" style="16" width="11.862142857142858" customWidth="1" bestFit="1"/>
    <col min="2" max="2" style="17" width="19.862142857142857" customWidth="1" bestFit="1"/>
    <col min="3" max="3" style="17" width="26.719285714285714" customWidth="1" bestFit="1"/>
    <col min="4" max="4" style="17" width="27.862142857142857" customWidth="1" bestFit="1"/>
    <col min="5" max="5" style="16" width="33.43357142857143" customWidth="1" bestFit="1"/>
    <col min="6" max="6" style="17" width="25.14785714285714" customWidth="1" bestFit="1"/>
    <col min="7" max="7" style="18" width="22.719285714285714" customWidth="1" bestFit="1"/>
    <col min="8" max="8" style="18" width="21.862142857142857" customWidth="1" bestFit="1"/>
    <col min="9" max="9" style="17" width="21.862142857142857" customWidth="1" bestFit="1"/>
    <col min="10" max="10" style="16" width="36.14785714285715" customWidth="1" bestFit="1"/>
    <col min="11" max="11" style="17" width="29.290714285714284" customWidth="1" bestFit="1"/>
    <col min="12" max="12" style="17" width="20.719285714285714" customWidth="1" bestFit="1"/>
    <col min="13" max="13" style="17" width="23.719285714285714" customWidth="1" bestFit="1"/>
    <col min="14" max="14" style="16" width="27.433571428571426" customWidth="1" bestFit="1"/>
    <col min="15" max="15" style="17" width="13.576428571428572" customWidth="1" bestFit="1" hidden="1"/>
    <col min="16" max="16" style="19" width="22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5" t="s">
        <v>15</v>
      </c>
    </row>
    <row x14ac:dyDescent="0.25" r="2" customHeight="1" ht="18.75" customFormat="1" s="1">
      <c r="A2" s="6" t="s">
        <v>16</v>
      </c>
      <c r="B2" s="7">
        <v>1337.5</v>
      </c>
      <c r="C2" s="7">
        <v>64200.00000000001</v>
      </c>
      <c r="D2" s="7">
        <v>0</v>
      </c>
      <c r="E2" s="8">
        <f>P2*(1+P2)^F2 / ((1+P2)^F2 - 1)</f>
      </c>
      <c r="F2" s="7">
        <v>25</v>
      </c>
      <c r="G2" s="9">
        <v>1059.3</v>
      </c>
      <c r="H2" s="9">
        <v>0</v>
      </c>
      <c r="I2" s="7">
        <v>75970</v>
      </c>
      <c r="J2" s="10">
        <f>P2*(1+P2)^K2 / ((1+P2)^K2 - 1)</f>
      </c>
      <c r="K2" s="7">
        <v>40</v>
      </c>
      <c r="L2" s="7">
        <v>435490</v>
      </c>
      <c r="M2" s="7">
        <v>0</v>
      </c>
      <c r="N2" s="10">
        <f>P2*(1+P2)^O2 / ((1+P2)^O2 - 1)</f>
      </c>
      <c r="O2" s="7">
        <v>25</v>
      </c>
      <c r="P2" s="8">
        <v>0.1</v>
      </c>
    </row>
    <row x14ac:dyDescent="0.25" r="3" customHeight="1" ht="18.75" customFormat="1" s="1">
      <c r="A3" s="6" t="s">
        <v>17</v>
      </c>
      <c r="B3" s="7">
        <v>1551.5</v>
      </c>
      <c r="C3" s="7">
        <v>64200.00000000001</v>
      </c>
      <c r="D3" s="7">
        <v>0</v>
      </c>
      <c r="E3" s="8">
        <f>P3*(1+P3)^F3 / ((1+P3)^F3 - 1)</f>
      </c>
      <c r="F3" s="7">
        <v>25</v>
      </c>
      <c r="G3" s="9">
        <v>1059.3</v>
      </c>
      <c r="H3" s="9">
        <v>0</v>
      </c>
      <c r="I3" s="7">
        <v>75970</v>
      </c>
      <c r="J3" s="10">
        <f>P3*(1+P3)^K3 / ((1+P3)^K3 - 1)</f>
      </c>
      <c r="K3" s="7">
        <v>40</v>
      </c>
      <c r="L3" s="7">
        <v>435490</v>
      </c>
      <c r="M3" s="7">
        <v>0</v>
      </c>
      <c r="N3" s="10">
        <f>P3*(1+P3)^O3 / ((1+P3)^O3 - 1)</f>
      </c>
      <c r="O3" s="7">
        <v>25</v>
      </c>
      <c r="P3" s="8">
        <v>0.1</v>
      </c>
    </row>
    <row x14ac:dyDescent="0.25" r="4" customHeight="1" ht="18.75" customFormat="1" s="1">
      <c r="A4" s="6" t="s">
        <v>18</v>
      </c>
      <c r="B4" s="7">
        <v>1819</v>
      </c>
      <c r="C4" s="7">
        <v>64200.00000000001</v>
      </c>
      <c r="D4" s="7">
        <v>0</v>
      </c>
      <c r="E4" s="8">
        <f>P4*(1+P4)^F4 / ((1+P4)^F4 - 1)</f>
      </c>
      <c r="F4" s="7">
        <v>25</v>
      </c>
      <c r="G4" s="9">
        <v>1059.3</v>
      </c>
      <c r="H4" s="9">
        <v>0</v>
      </c>
      <c r="I4" s="7">
        <v>75970</v>
      </c>
      <c r="J4" s="10">
        <f>P4*(1+P4)^K4 / ((1+P4)^K4 - 1)</f>
      </c>
      <c r="K4" s="7">
        <v>40</v>
      </c>
      <c r="L4" s="7">
        <v>435490</v>
      </c>
      <c r="M4" s="7">
        <v>0</v>
      </c>
      <c r="N4" s="10">
        <f>P4*(1+P4)^O4 / ((1+P4)^O4 - 1)</f>
      </c>
      <c r="O4" s="7">
        <v>25</v>
      </c>
      <c r="P4" s="8">
        <v>0.1</v>
      </c>
    </row>
    <row x14ac:dyDescent="0.25" r="5" customHeight="1" ht="18.75" customFormat="1" s="1">
      <c r="A5" s="6" t="s">
        <v>19</v>
      </c>
      <c r="B5" s="7">
        <v>1070</v>
      </c>
      <c r="C5" s="7">
        <v>53500</v>
      </c>
      <c r="D5" s="7">
        <v>4.28</v>
      </c>
      <c r="E5" s="8">
        <f>P5*(1+P5)^F5 / ((1+P5)^F5 - 1)</f>
      </c>
      <c r="F5" s="7">
        <v>25</v>
      </c>
      <c r="G5" s="9">
        <v>1059.3</v>
      </c>
      <c r="H5" s="9">
        <v>0</v>
      </c>
      <c r="I5" s="7">
        <v>75970</v>
      </c>
      <c r="J5" s="10">
        <f>P5*(1+P5)^K5 / ((1+P5)^K5 - 1)</f>
      </c>
      <c r="K5" s="7">
        <v>40</v>
      </c>
      <c r="L5" s="7">
        <v>435490</v>
      </c>
      <c r="M5" s="7">
        <v>0</v>
      </c>
      <c r="N5" s="10">
        <f>P5*(1+P5)^O5 / ((1+P5)^O5 - 1)</f>
      </c>
      <c r="O5" s="7">
        <v>25</v>
      </c>
      <c r="P5" s="8">
        <v>0.1</v>
      </c>
    </row>
    <row x14ac:dyDescent="0.25" r="6" customHeight="1" ht="18.75" customFormat="1" s="1">
      <c r="A6" s="11"/>
      <c r="B6" s="12"/>
      <c r="C6" s="12"/>
      <c r="D6" s="12"/>
      <c r="E6" s="13"/>
      <c r="F6" s="12"/>
      <c r="G6" s="14"/>
      <c r="H6" s="14"/>
      <c r="I6" s="12"/>
      <c r="J6" s="15"/>
      <c r="K6" s="12"/>
      <c r="L6" s="12"/>
      <c r="M6" s="12"/>
      <c r="N6" s="15"/>
      <c r="O6" s="12"/>
      <c r="P6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paths</vt:lpstr>
      <vt:lpstr>configurations</vt:lpstr>
      <vt:lpstr>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2026-07-08T07:55:59.900Z</dcterms:created>
  <dcterms:modified xsi:type="dcterms:W3CDTF">2026-07-08T07:55:59.900Z</dcterms:modified>
</cp:coreProperties>
</file>